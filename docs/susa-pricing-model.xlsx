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Monthly costs" sheetId="2" state="visible" r:id="rId4"/>
    <sheet name="Job costs" sheetId="3" state="visible" r:id="rId5"/>
    <sheet name="Rate card te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<sst xmlns="http://schemas.openxmlformats.org/spreadsheetml/2006/main" count="181" uniqueCount="122">
  <si>
    <t xml:space="preserve">Susa pricing model: change the yellow cells. Tag: S = sourced from research, A = assumption you must replace with a quote or measurement.</t>
  </si>
  <si>
    <t xml:space="preserve">Item</t>
  </si>
  <si>
    <t xml:space="preserve">Value</t>
  </si>
  <si>
    <t xml:space="preserve">Tag</t>
  </si>
  <si>
    <t xml:space="preserve">Note / source</t>
  </si>
  <si>
    <t xml:space="preserve">Vehicle loan amount (R)</t>
  </si>
  <si>
    <t xml:space="preserve">S</t>
  </si>
  <si>
    <t xml:space="preserve">Owner brief</t>
  </si>
  <si>
    <t xml:space="preserve">Interest rate per year</t>
  </si>
  <si>
    <t xml:space="preserve">Owner brief. Prime is 10.75% from 25 Sep 2026</t>
  </si>
  <si>
    <t xml:space="preserve">Loan term (months)</t>
  </si>
  <si>
    <t xml:space="preserve">Initiation fee (R)</t>
  </si>
  <si>
    <t xml:space="preserve">NCA maximum, bank fee schedule 2026</t>
  </si>
  <si>
    <t xml:space="preserve">Monthly service fee (R)</t>
  </si>
  <si>
    <t xml:space="preserve">Bank fee schedule 2026</t>
  </si>
  <si>
    <t xml:space="preserve">Trailer cost (R)</t>
  </si>
  <si>
    <t xml:space="preserve">A</t>
  </si>
  <si>
    <t xml:space="preserve">Not researched. Get a quote for a closed braked box trailer</t>
  </si>
  <si>
    <t xml:space="preserve">Trailer write-off period (months)</t>
  </si>
  <si>
    <t xml:space="preserve">Insurance per month (R) vehicle + trailer + liability</t>
  </si>
  <si>
    <t xml:space="preserve">Get 3 commercial quotes (Miway, King Price, others). Say it is a removals business</t>
  </si>
  <si>
    <t xml:space="preserve">Tracker per month (R)</t>
  </si>
  <si>
    <t xml:space="preserve">Licence, disc and roadworthy per year (R)</t>
  </si>
  <si>
    <t xml:space="preserve">Typical range R600 to R1,200 a year</t>
  </si>
  <si>
    <t xml:space="preserve">Phone and data per month (R)</t>
  </si>
  <si>
    <t xml:space="preserve">Accounting per month (R)</t>
  </si>
  <si>
    <t xml:space="preserve">Bank fees per month (R)</t>
  </si>
  <si>
    <t xml:space="preserve">Marketing per month (R)</t>
  </si>
  <si>
    <t xml:space="preserve">Google Ads, flyers</t>
  </si>
  <si>
    <t xml:space="preserve">Misc and domain per month (R)</t>
  </si>
  <si>
    <t xml:space="preserve">Equipment (blankets, straps, trolley) total (R)</t>
  </si>
  <si>
    <t xml:space="preserve">Written off over 36 months</t>
  </si>
  <si>
    <t xml:space="preserve">Diesel pump price (R per litre)</t>
  </si>
  <si>
    <t xml:space="preserve">S/A</t>
  </si>
  <si>
    <t xml:space="preserve">Wholesale 500ppm R31.95 from 7 Oct 2026; pump price is an estimate. Update monthly</t>
  </si>
  <si>
    <t xml:space="preserve">Fuel use bakkie alone (L per 100 km)</t>
  </si>
  <si>
    <t xml:space="preserve">Maker figure 10.2; loaded real-world estimate</t>
  </si>
  <si>
    <t xml:space="preserve">Fuel use bakkie + trailer (L per 100 km)</t>
  </si>
  <si>
    <t xml:space="preserve">Maintenance, tyres, repairs bakkie (R per km)</t>
  </si>
  <si>
    <t xml:space="preserve">Tyres about R2,000 each per 50,000 km, services every 15,000 km</t>
  </si>
  <si>
    <t xml:space="preserve">Maintenance, tyres, repairs with trailer (R per km)</t>
  </si>
  <si>
    <t xml:space="preserve">Driven km per move km (positioning factor)</t>
  </si>
  <si>
    <t xml:space="preserve">Depot to pick-up and back</t>
  </si>
  <si>
    <t xml:space="preserve">Extra driven km per job</t>
  </si>
  <si>
    <t xml:space="preserve">Average speed in traffic (km per h)</t>
  </si>
  <si>
    <t xml:space="preserve">National minimum wage (R per h)</t>
  </si>
  <si>
    <t xml:space="preserve">From 1 March 2026</t>
  </si>
  <si>
    <t xml:space="preserve">Mover wage you pay (R per h)</t>
  </si>
  <si>
    <t xml:space="preserve">Must be at least the minimum wage</t>
  </si>
  <si>
    <t xml:space="preserve">Driver wage or value of your own time (R per h)</t>
  </si>
  <si>
    <t xml:space="preserve">Sunday pay multiplier</t>
  </si>
  <si>
    <t xml:space="preserve">BCEA s16: double, or 1.5 if Sunday is an ordinary working day. Confirm</t>
  </si>
  <si>
    <t xml:space="preserve">Employer on-costs (UIF 1% + COIDA 2.65%)</t>
  </si>
  <si>
    <t xml:space="preserve">COIDA class J goods transport is an assumption. Confirm with the Compensation Fund</t>
  </si>
  <si>
    <t xml:space="preserve">Minimum paid hours per mover per job</t>
  </si>
  <si>
    <t xml:space="preserve">Breakage and claims provision (share of revenue)</t>
  </si>
  <si>
    <t xml:space="preserve">You have no goods-in-transit insurance</t>
  </si>
  <si>
    <t xml:space="preserve">Target profit margin on price</t>
  </si>
  <si>
    <t xml:space="preserve">Fixed monthly costs</t>
  </si>
  <si>
    <t xml:space="preserve">R per month</t>
  </si>
  <si>
    <t xml:space="preserve">How</t>
  </si>
  <si>
    <t xml:space="preserve">Vehicle instalment</t>
  </si>
  <si>
    <t xml:space="preserve">PMT on the loan</t>
  </si>
  <si>
    <t xml:space="preserve">Monthly service fee</t>
  </si>
  <si>
    <t xml:space="preserve">Initiation fee spread</t>
  </si>
  <si>
    <t xml:space="preserve">Trailer write-off</t>
  </si>
  <si>
    <t xml:space="preserve">Insurance</t>
  </si>
  <si>
    <t xml:space="preserve">Tracker</t>
  </si>
  <si>
    <t xml:space="preserve">Licence and roadworthy</t>
  </si>
  <si>
    <t xml:space="preserve">Phone and data</t>
  </si>
  <si>
    <t xml:space="preserve">Accounting</t>
  </si>
  <si>
    <t xml:space="preserve">Bank fees</t>
  </si>
  <si>
    <t xml:space="preserve">Marketing</t>
  </si>
  <si>
    <t xml:space="preserve">Misc and domain</t>
  </si>
  <si>
    <t xml:space="preserve">Equipment</t>
  </si>
  <si>
    <t xml:space="preserve">TOTAL fixed per month</t>
  </si>
  <si>
    <t xml:space="preserve">Total fixed excluding trailer (bakkie-only jobs)</t>
  </si>
  <si>
    <t xml:space="preserve">Total interest over the loan</t>
  </si>
  <si>
    <t xml:space="preserve">Running cost per km, bakkie alone</t>
  </si>
  <si>
    <t xml:space="preserve">Running cost per km, bakkie + trailer</t>
  </si>
  <si>
    <t xml:space="preserve">Mover cost per paid hour (Sunday, with on-costs)</t>
  </si>
  <si>
    <t xml:space="preserve">Driver cost per paid hour (Sunday, with on-costs)</t>
  </si>
  <si>
    <t xml:space="preserve">Minimum wage check (mover wage minus minimum)</t>
  </si>
  <si>
    <t xml:space="preserve">must be 0 or more</t>
  </si>
  <si>
    <t xml:space="preserve">Example jobs (yellow = change)</t>
  </si>
  <si>
    <t xml:space="preserve">Combo? (1 = with trailer)</t>
  </si>
  <si>
    <t xml:space="preserve">Volume m3</t>
  </si>
  <si>
    <t xml:space="preserve">Move km</t>
  </si>
  <si>
    <t xml:space="preserve">Floors</t>
  </si>
  <si>
    <t xml:space="preserve">Movers (max 2)</t>
  </si>
  <si>
    <t xml:space="preserve">T1 bakkie transport only, student</t>
  </si>
  <si>
    <t xml:space="preserve">T2 bakkie + 2 movers, student room</t>
  </si>
  <si>
    <t xml:space="preserve">T3 combo + 2 movers, 1-bedroom</t>
  </si>
  <si>
    <t xml:space="preserve">T4 combo transport only</t>
  </si>
  <si>
    <t xml:space="preserve">T5 combo + 2 movers, 2-bedroom</t>
  </si>
  <si>
    <t xml:space="preserve">At 8 jobs per month</t>
  </si>
  <si>
    <t xml:space="preserve">Job</t>
  </si>
  <si>
    <t xml:space="preserve">Hours</t>
  </si>
  <si>
    <t xml:space="preserve">Driven km</t>
  </si>
  <si>
    <t xml:space="preserve">Running cost R</t>
  </si>
  <si>
    <t xml:space="preserve">Labour R</t>
  </si>
  <si>
    <t xml:space="preserve">Fixed share R</t>
  </si>
  <si>
    <t xml:space="preserve">Full cost R</t>
  </si>
  <si>
    <t xml:space="preserve">Break-even price R</t>
  </si>
  <si>
    <t xml:space="preserve">Price for target margin R</t>
  </si>
  <si>
    <t xml:space="preserve">At 12 jobs per month</t>
  </si>
  <si>
    <t xml:space="preserve">At 16 jobs per month</t>
  </si>
  <si>
    <t xml:space="preserve">At 20 jobs per month</t>
  </si>
  <si>
    <t xml:space="preserve">Proposed rate card (yellow)</t>
  </si>
  <si>
    <t xml:space="preserve">Callout fee (R)</t>
  </si>
  <si>
    <t xml:space="preserve">Vehicle and driver per billable hour (R)</t>
  </si>
  <si>
    <t xml:space="preserve">Crew per mover per hour (R)</t>
  </si>
  <si>
    <t xml:space="preserve">Per move km, bakkie alone (R)</t>
  </si>
  <si>
    <t xml:space="preserve">Per move km, with trailer (R)</t>
  </si>
  <si>
    <t xml:space="preserve">Stairs per floor (R)</t>
  </si>
  <si>
    <t xml:space="preserve">Minimum billable hours, no crew</t>
  </si>
  <si>
    <t xml:space="preserve">Minimum billable hours, with crew</t>
  </si>
  <si>
    <t xml:space="preserve">Billable hours</t>
  </si>
  <si>
    <t xml:space="preserve">Price R</t>
  </si>
  <si>
    <t xml:space="preserve">Cost at 12 jobs R</t>
  </si>
  <si>
    <t xml:space="preserve">Profit R</t>
  </si>
  <si>
    <t xml:space="preserve">Margin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</si>
</sst>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6E6F4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6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0" t="s">
        <v>5</v>
      </c>
      <c r="B3" s="3" t="n">
        <v>150000</v>
      </c>
      <c r="C3" s="4" t="s">
        <v>6</v>
      </c>
      <c r="D3" s="4" t="s">
        <v>7</v>
      </c>
    </row>
    <row r="4" customFormat="false" ht="15" hidden="false" customHeight="false" outlineLevel="0" collapsed="false">
      <c r="A4" s="0" t="s">
        <v>8</v>
      </c>
      <c r="B4" s="3" t="n">
        <v>0.11</v>
      </c>
      <c r="C4" s="4" t="s">
        <v>6</v>
      </c>
      <c r="D4" s="4" t="s">
        <v>9</v>
      </c>
    </row>
    <row r="5" customFormat="false" ht="15" hidden="false" customHeight="false" outlineLevel="0" collapsed="false">
      <c r="A5" s="0" t="s">
        <v>10</v>
      </c>
      <c r="B5" s="3" t="n">
        <v>72</v>
      </c>
      <c r="C5" s="4" t="s">
        <v>6</v>
      </c>
      <c r="D5" s="4" t="s">
        <v>7</v>
      </c>
    </row>
    <row r="6" customFormat="false" ht="15" hidden="false" customHeight="false" outlineLevel="0" collapsed="false">
      <c r="A6" s="0" t="s">
        <v>11</v>
      </c>
      <c r="B6" s="3" t="n">
        <v>1207.5</v>
      </c>
      <c r="C6" s="4" t="s">
        <v>6</v>
      </c>
      <c r="D6" s="4" t="s">
        <v>12</v>
      </c>
    </row>
    <row r="7" customFormat="false" ht="15" hidden="false" customHeight="false" outlineLevel="0" collapsed="false">
      <c r="A7" s="0" t="s">
        <v>13</v>
      </c>
      <c r="B7" s="3" t="n">
        <v>69</v>
      </c>
      <c r="C7" s="4" t="s">
        <v>6</v>
      </c>
      <c r="D7" s="4" t="s">
        <v>14</v>
      </c>
    </row>
    <row r="8" customFormat="false" ht="15" hidden="false" customHeight="false" outlineLevel="0" collapsed="false">
      <c r="A8" s="0" t="s">
        <v>15</v>
      </c>
      <c r="B8" s="3" t="n">
        <v>50000</v>
      </c>
      <c r="C8" s="4" t="s">
        <v>16</v>
      </c>
      <c r="D8" s="4" t="s">
        <v>17</v>
      </c>
    </row>
    <row r="9" customFormat="false" ht="15" hidden="false" customHeight="false" outlineLevel="0" collapsed="false">
      <c r="A9" s="0" t="s">
        <v>18</v>
      </c>
      <c r="B9" s="3" t="n">
        <v>72</v>
      </c>
      <c r="C9" s="4" t="s">
        <v>16</v>
      </c>
    </row>
    <row r="10" customFormat="false" ht="15" hidden="false" customHeight="false" outlineLevel="0" collapsed="false">
      <c r="A10" s="0" t="s">
        <v>19</v>
      </c>
      <c r="B10" s="3" t="n">
        <v>1700</v>
      </c>
      <c r="C10" s="4" t="s">
        <v>16</v>
      </c>
      <c r="D10" s="4" t="s">
        <v>20</v>
      </c>
    </row>
    <row r="11" customFormat="false" ht="15" hidden="false" customHeight="false" outlineLevel="0" collapsed="false">
      <c r="A11" s="0" t="s">
        <v>21</v>
      </c>
      <c r="B11" s="3" t="n">
        <v>180</v>
      </c>
      <c r="C11" s="4" t="s">
        <v>16</v>
      </c>
    </row>
    <row r="12" customFormat="false" ht="15" hidden="false" customHeight="false" outlineLevel="0" collapsed="false">
      <c r="A12" s="0" t="s">
        <v>22</v>
      </c>
      <c r="B12" s="3" t="n">
        <v>1200</v>
      </c>
      <c r="C12" s="4" t="s">
        <v>6</v>
      </c>
      <c r="D12" s="4" t="s">
        <v>23</v>
      </c>
    </row>
    <row r="13" customFormat="false" ht="15" hidden="false" customHeight="false" outlineLevel="0" collapsed="false">
      <c r="A13" s="0" t="s">
        <v>24</v>
      </c>
      <c r="B13" s="3" t="n">
        <v>400</v>
      </c>
      <c r="C13" s="4" t="s">
        <v>16</v>
      </c>
    </row>
    <row r="14" customFormat="false" ht="15" hidden="false" customHeight="false" outlineLevel="0" collapsed="false">
      <c r="A14" s="0" t="s">
        <v>25</v>
      </c>
      <c r="B14" s="3" t="n">
        <v>500</v>
      </c>
      <c r="C14" s="4" t="s">
        <v>16</v>
      </c>
    </row>
    <row r="15" customFormat="false" ht="15" hidden="false" customHeight="false" outlineLevel="0" collapsed="false">
      <c r="A15" s="0" t="s">
        <v>26</v>
      </c>
      <c r="B15" s="3" t="n">
        <v>150</v>
      </c>
      <c r="C15" s="4" t="s">
        <v>16</v>
      </c>
    </row>
    <row r="16" customFormat="false" ht="15" hidden="false" customHeight="false" outlineLevel="0" collapsed="false">
      <c r="A16" s="0" t="s">
        <v>27</v>
      </c>
      <c r="B16" s="3" t="n">
        <v>1500</v>
      </c>
      <c r="C16" s="4" t="s">
        <v>16</v>
      </c>
      <c r="D16" s="4" t="s">
        <v>28</v>
      </c>
    </row>
    <row r="17" customFormat="false" ht="15" hidden="false" customHeight="false" outlineLevel="0" collapsed="false">
      <c r="A17" s="0" t="s">
        <v>29</v>
      </c>
      <c r="B17" s="3" t="n">
        <v>150</v>
      </c>
      <c r="C17" s="4" t="s">
        <v>16</v>
      </c>
    </row>
    <row r="18" customFormat="false" ht="15" hidden="false" customHeight="false" outlineLevel="0" collapsed="false">
      <c r="A18" s="0" t="s">
        <v>30</v>
      </c>
      <c r="B18" s="3" t="n">
        <v>3000</v>
      </c>
      <c r="C18" s="4" t="s">
        <v>16</v>
      </c>
      <c r="D18" s="4" t="s">
        <v>31</v>
      </c>
    </row>
    <row r="19" customFormat="false" ht="15" hidden="false" customHeight="false" outlineLevel="0" collapsed="false">
      <c r="A19" s="0" t="s">
        <v>32</v>
      </c>
      <c r="B19" s="3" t="n">
        <v>33.5</v>
      </c>
      <c r="C19" s="4" t="s">
        <v>33</v>
      </c>
      <c r="D19" s="4" t="s">
        <v>34</v>
      </c>
    </row>
    <row r="20" customFormat="false" ht="15" hidden="false" customHeight="false" outlineLevel="0" collapsed="false">
      <c r="A20" s="0" t="s">
        <v>35</v>
      </c>
      <c r="B20" s="3" t="n">
        <v>11.5</v>
      </c>
      <c r="C20" s="4" t="s">
        <v>33</v>
      </c>
      <c r="D20" s="4" t="s">
        <v>36</v>
      </c>
    </row>
    <row r="21" customFormat="false" ht="15" hidden="false" customHeight="false" outlineLevel="0" collapsed="false">
      <c r="A21" s="0" t="s">
        <v>37</v>
      </c>
      <c r="B21" s="3" t="n">
        <v>13.5</v>
      </c>
      <c r="C21" s="4" t="s">
        <v>16</v>
      </c>
    </row>
    <row r="22" customFormat="false" ht="15" hidden="false" customHeight="false" outlineLevel="0" collapsed="false">
      <c r="A22" s="0" t="s">
        <v>38</v>
      </c>
      <c r="B22" s="3" t="n">
        <v>1.3</v>
      </c>
      <c r="C22" s="4" t="s">
        <v>16</v>
      </c>
      <c r="D22" s="4" t="s">
        <v>39</v>
      </c>
    </row>
    <row r="23" customFormat="false" ht="15" hidden="false" customHeight="false" outlineLevel="0" collapsed="false">
      <c r="A23" s="0" t="s">
        <v>40</v>
      </c>
      <c r="B23" s="3" t="n">
        <v>1.6</v>
      </c>
      <c r="C23" s="4" t="s">
        <v>16</v>
      </c>
    </row>
    <row r="24" customFormat="false" ht="15" hidden="false" customHeight="false" outlineLevel="0" collapsed="false">
      <c r="A24" s="0" t="s">
        <v>41</v>
      </c>
      <c r="B24" s="3" t="n">
        <v>1.6</v>
      </c>
      <c r="C24" s="4" t="s">
        <v>16</v>
      </c>
      <c r="D24" s="4" t="s">
        <v>42</v>
      </c>
    </row>
    <row r="25" customFormat="false" ht="15" hidden="false" customHeight="false" outlineLevel="0" collapsed="false">
      <c r="A25" s="0" t="s">
        <v>43</v>
      </c>
      <c r="B25" s="3" t="n">
        <v>8</v>
      </c>
      <c r="C25" s="4" t="s">
        <v>16</v>
      </c>
    </row>
    <row r="26" customFormat="false" ht="15" hidden="false" customHeight="false" outlineLevel="0" collapsed="false">
      <c r="A26" s="0" t="s">
        <v>44</v>
      </c>
      <c r="B26" s="3" t="n">
        <v>30</v>
      </c>
      <c r="C26" s="4" t="s">
        <v>16</v>
      </c>
    </row>
    <row r="27" customFormat="false" ht="15" hidden="false" customHeight="false" outlineLevel="0" collapsed="false">
      <c r="A27" s="0" t="s">
        <v>45</v>
      </c>
      <c r="B27" s="3" t="n">
        <v>30.23</v>
      </c>
      <c r="C27" s="4" t="s">
        <v>6</v>
      </c>
      <c r="D27" s="4" t="s">
        <v>46</v>
      </c>
    </row>
    <row r="28" customFormat="false" ht="15" hidden="false" customHeight="false" outlineLevel="0" collapsed="false">
      <c r="A28" s="0" t="s">
        <v>47</v>
      </c>
      <c r="B28" s="3" t="n">
        <v>35</v>
      </c>
      <c r="C28" s="4" t="s">
        <v>16</v>
      </c>
      <c r="D28" s="4" t="s">
        <v>48</v>
      </c>
    </row>
    <row r="29" customFormat="false" ht="15" hidden="false" customHeight="false" outlineLevel="0" collapsed="false">
      <c r="A29" s="0" t="s">
        <v>49</v>
      </c>
      <c r="B29" s="3" t="n">
        <v>50</v>
      </c>
      <c r="C29" s="4" t="s">
        <v>16</v>
      </c>
    </row>
    <row r="30" customFormat="false" ht="15" hidden="false" customHeight="false" outlineLevel="0" collapsed="false">
      <c r="A30" s="0" t="s">
        <v>50</v>
      </c>
      <c r="B30" s="3" t="n">
        <v>1.5</v>
      </c>
      <c r="C30" s="4" t="s">
        <v>33</v>
      </c>
      <c r="D30" s="4" t="s">
        <v>51</v>
      </c>
    </row>
    <row r="31" customFormat="false" ht="15" hidden="false" customHeight="false" outlineLevel="0" collapsed="false">
      <c r="A31" s="0" t="s">
        <v>52</v>
      </c>
      <c r="B31" s="3" t="n">
        <v>0.0365</v>
      </c>
      <c r="C31" s="4" t="s">
        <v>33</v>
      </c>
      <c r="D31" s="4" t="s">
        <v>53</v>
      </c>
    </row>
    <row r="32" customFormat="false" ht="15" hidden="false" customHeight="false" outlineLevel="0" collapsed="false">
      <c r="A32" s="0" t="s">
        <v>54</v>
      </c>
      <c r="B32" s="3" t="n">
        <v>4</v>
      </c>
      <c r="C32" s="4" t="s">
        <v>16</v>
      </c>
    </row>
    <row r="33" customFormat="false" ht="15" hidden="false" customHeight="false" outlineLevel="0" collapsed="false">
      <c r="A33" s="0" t="s">
        <v>55</v>
      </c>
      <c r="B33" s="3" t="n">
        <v>0.02</v>
      </c>
      <c r="C33" s="4" t="s">
        <v>16</v>
      </c>
      <c r="D33" s="4" t="s">
        <v>56</v>
      </c>
    </row>
    <row r="34" customFormat="false" ht="15" hidden="false" customHeight="false" outlineLevel="0" collapsed="false">
      <c r="A34" s="0" t="s">
        <v>57</v>
      </c>
      <c r="B34" s="3" t="n">
        <v>0.2</v>
      </c>
      <c r="C34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2" t="s">
        <v>58</v>
      </c>
      <c r="B1" s="2" t="s">
        <v>59</v>
      </c>
      <c r="C1" s="2" t="s">
        <v>60</v>
      </c>
    </row>
    <row r="2" customFormat="false" ht="15" hidden="false" customHeight="false" outlineLevel="0" collapsed="false">
      <c r="A2" s="0" t="s">
        <v>61</v>
      </c>
      <c r="B2" s="5" t="n">
        <f aca="false">PMT(Inputs!$B$4/12,Inputs!$B$5,-Inputs!$B$3)</f>
        <v>2855.11185010587</v>
      </c>
      <c r="C2" s="4" t="s">
        <v>62</v>
      </c>
    </row>
    <row r="3" customFormat="false" ht="15" hidden="false" customHeight="false" outlineLevel="0" collapsed="false">
      <c r="A3" s="0" t="s">
        <v>63</v>
      </c>
      <c r="B3" s="5" t="n">
        <f aca="false">Inputs!$B$7</f>
        <v>69</v>
      </c>
    </row>
    <row r="4" customFormat="false" ht="15" hidden="false" customHeight="false" outlineLevel="0" collapsed="false">
      <c r="A4" s="0" t="s">
        <v>64</v>
      </c>
      <c r="B4" s="5" t="n">
        <f aca="false">Inputs!$B$6/Inputs!$B$5</f>
        <v>16.7708333333333</v>
      </c>
    </row>
    <row r="5" customFormat="false" ht="15" hidden="false" customHeight="false" outlineLevel="0" collapsed="false">
      <c r="A5" s="0" t="s">
        <v>65</v>
      </c>
      <c r="B5" s="5" t="n">
        <f aca="false">Inputs!$B$8/Inputs!$B$9</f>
        <v>694.444444444445</v>
      </c>
    </row>
    <row r="6" customFormat="false" ht="15" hidden="false" customHeight="false" outlineLevel="0" collapsed="false">
      <c r="A6" s="0" t="s">
        <v>66</v>
      </c>
      <c r="B6" s="5" t="n">
        <f aca="false">Inputs!$B$10</f>
        <v>1700</v>
      </c>
    </row>
    <row r="7" customFormat="false" ht="15" hidden="false" customHeight="false" outlineLevel="0" collapsed="false">
      <c r="A7" s="0" t="s">
        <v>67</v>
      </c>
      <c r="B7" s="5" t="n">
        <f aca="false">Inputs!$B$11</f>
        <v>180</v>
      </c>
    </row>
    <row r="8" customFormat="false" ht="15" hidden="false" customHeight="false" outlineLevel="0" collapsed="false">
      <c r="A8" s="0" t="s">
        <v>68</v>
      </c>
      <c r="B8" s="5" t="n">
        <f aca="false">Inputs!$B$12/12</f>
        <v>100</v>
      </c>
    </row>
    <row r="9" customFormat="false" ht="15" hidden="false" customHeight="false" outlineLevel="0" collapsed="false">
      <c r="A9" s="0" t="s">
        <v>69</v>
      </c>
      <c r="B9" s="5" t="n">
        <f aca="false">Inputs!$B$13</f>
        <v>400</v>
      </c>
    </row>
    <row r="10" customFormat="false" ht="15" hidden="false" customHeight="false" outlineLevel="0" collapsed="false">
      <c r="A10" s="0" t="s">
        <v>70</v>
      </c>
      <c r="B10" s="5" t="n">
        <f aca="false">Inputs!$B$14</f>
        <v>500</v>
      </c>
    </row>
    <row r="11" customFormat="false" ht="15" hidden="false" customHeight="false" outlineLevel="0" collapsed="false">
      <c r="A11" s="0" t="s">
        <v>71</v>
      </c>
      <c r="B11" s="5" t="n">
        <f aca="false">Inputs!$B$15</f>
        <v>150</v>
      </c>
    </row>
    <row r="12" customFormat="false" ht="15" hidden="false" customHeight="false" outlineLevel="0" collapsed="false">
      <c r="A12" s="0" t="s">
        <v>72</v>
      </c>
      <c r="B12" s="5" t="n">
        <f aca="false">Inputs!$B$16</f>
        <v>1500</v>
      </c>
    </row>
    <row r="13" customFormat="false" ht="15" hidden="false" customHeight="false" outlineLevel="0" collapsed="false">
      <c r="A13" s="0" t="s">
        <v>73</v>
      </c>
      <c r="B13" s="5" t="n">
        <f aca="false">Inputs!$B$17</f>
        <v>150</v>
      </c>
    </row>
    <row r="14" customFormat="false" ht="15" hidden="false" customHeight="false" outlineLevel="0" collapsed="false">
      <c r="A14" s="0" t="s">
        <v>74</v>
      </c>
      <c r="B14" s="5" t="n">
        <f aca="false">Inputs!$B$18/36</f>
        <v>83.3333333333333</v>
      </c>
    </row>
    <row r="15" customFormat="false" ht="15" hidden="false" customHeight="false" outlineLevel="0" collapsed="false">
      <c r="A15" s="1" t="s">
        <v>75</v>
      </c>
      <c r="B15" s="6" t="n">
        <f aca="false">SUM(B2:B14)</f>
        <v>8398.66046121698</v>
      </c>
    </row>
    <row r="16" customFormat="false" ht="15" hidden="false" customHeight="false" outlineLevel="0" collapsed="false">
      <c r="A16" s="0" t="s">
        <v>76</v>
      </c>
      <c r="B16" s="5" t="n">
        <f aca="false">B15-B5</f>
        <v>7704.21601677254</v>
      </c>
    </row>
    <row r="17" customFormat="false" ht="15" hidden="false" customHeight="false" outlineLevel="0" collapsed="false">
      <c r="B17" s="5"/>
    </row>
    <row r="18" customFormat="false" ht="15" hidden="false" customHeight="false" outlineLevel="0" collapsed="false">
      <c r="A18" s="0" t="s">
        <v>77</v>
      </c>
      <c r="B18" s="5" t="n">
        <f aca="false">B2*Inputs!$B$5-Inputs!$B$3</f>
        <v>55568.0532076227</v>
      </c>
    </row>
    <row r="19" customFormat="false" ht="15" hidden="false" customHeight="false" outlineLevel="0" collapsed="false">
      <c r="A19" s="0" t="s">
        <v>78</v>
      </c>
      <c r="B19" s="5" t="n">
        <f aca="false">Inputs!$B$20*Inputs!$B$19/100+Inputs!$B$22</f>
        <v>5.1525</v>
      </c>
    </row>
    <row r="20" customFormat="false" ht="15" hidden="false" customHeight="false" outlineLevel="0" collapsed="false">
      <c r="A20" s="0" t="s">
        <v>79</v>
      </c>
      <c r="B20" s="5" t="n">
        <f aca="false">Inputs!$B$21*Inputs!$B$19/100+Inputs!$B$23</f>
        <v>6.1225</v>
      </c>
    </row>
    <row r="21" customFormat="false" ht="15" hidden="false" customHeight="false" outlineLevel="0" collapsed="false">
      <c r="A21" s="0" t="s">
        <v>80</v>
      </c>
      <c r="B21" s="5" t="n">
        <f aca="false">Inputs!$B$28*Inputs!$B$30*(1+Inputs!$B$31)</f>
        <v>54.41625</v>
      </c>
    </row>
    <row r="22" customFormat="false" ht="15" hidden="false" customHeight="false" outlineLevel="0" collapsed="false">
      <c r="A22" s="0" t="s">
        <v>81</v>
      </c>
      <c r="B22" s="5" t="n">
        <f aca="false">Inputs!$B$29*Inputs!$B$30*(1+Inputs!$B$31)</f>
        <v>77.7375</v>
      </c>
    </row>
    <row r="23" customFormat="false" ht="15" hidden="false" customHeight="false" outlineLevel="0" collapsed="false">
      <c r="A23" s="0" t="s">
        <v>82</v>
      </c>
      <c r="B23" s="5" t="n">
        <f aca="false">Inputs!$B$28-Inputs!$B$27</f>
        <v>4.77</v>
      </c>
      <c r="C23" s="4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2" style="0" width="16"/>
  </cols>
  <sheetData>
    <row r="1" customFormat="false" ht="15" hidden="false" customHeight="false" outlineLevel="0" collapsed="false">
      <c r="A1" s="2" t="s">
        <v>84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</row>
    <row r="2" customFormat="false" ht="15" hidden="false" customHeight="false" outlineLevel="0" collapsed="false">
      <c r="A2" s="0" t="s">
        <v>90</v>
      </c>
      <c r="B2" s="3" t="n">
        <v>0</v>
      </c>
      <c r="C2" s="3" t="n">
        <v>1.7</v>
      </c>
      <c r="D2" s="3" t="n">
        <v>10</v>
      </c>
      <c r="E2" s="3" t="n">
        <v>0</v>
      </c>
      <c r="F2" s="3" t="n">
        <v>0</v>
      </c>
    </row>
    <row r="3" customFormat="false" ht="15" hidden="false" customHeight="false" outlineLevel="0" collapsed="false">
      <c r="A3" s="0" t="s">
        <v>91</v>
      </c>
      <c r="B3" s="3" t="n">
        <v>0</v>
      </c>
      <c r="C3" s="3" t="n">
        <v>1.7</v>
      </c>
      <c r="D3" s="3" t="n">
        <v>10</v>
      </c>
      <c r="E3" s="3" t="n">
        <v>0</v>
      </c>
      <c r="F3" s="3" t="n">
        <v>2</v>
      </c>
    </row>
    <row r="4" customFormat="false" ht="15" hidden="false" customHeight="false" outlineLevel="0" collapsed="false">
      <c r="A4" s="0" t="s">
        <v>92</v>
      </c>
      <c r="B4" s="3" t="n">
        <v>1</v>
      </c>
      <c r="C4" s="3" t="n">
        <v>4.7</v>
      </c>
      <c r="D4" s="3" t="n">
        <v>20</v>
      </c>
      <c r="E4" s="3" t="n">
        <v>2</v>
      </c>
      <c r="F4" s="3" t="n">
        <v>2</v>
      </c>
    </row>
    <row r="5" customFormat="false" ht="15" hidden="false" customHeight="false" outlineLevel="0" collapsed="false">
      <c r="A5" s="0" t="s">
        <v>93</v>
      </c>
      <c r="B5" s="3" t="n">
        <v>1</v>
      </c>
      <c r="C5" s="3" t="n">
        <v>3</v>
      </c>
      <c r="D5" s="3" t="n">
        <v>25</v>
      </c>
      <c r="E5" s="3" t="n">
        <v>0</v>
      </c>
      <c r="F5" s="3" t="n">
        <v>0</v>
      </c>
    </row>
    <row r="6" customFormat="false" ht="15" hidden="false" customHeight="false" outlineLevel="0" collapsed="false">
      <c r="A6" s="0" t="s">
        <v>94</v>
      </c>
      <c r="B6" s="3" t="n">
        <v>1</v>
      </c>
      <c r="C6" s="3" t="n">
        <v>6</v>
      </c>
      <c r="D6" s="3" t="n">
        <v>30</v>
      </c>
      <c r="E6" s="3" t="n">
        <v>3</v>
      </c>
      <c r="F6" s="3" t="n">
        <v>2</v>
      </c>
    </row>
    <row r="8" customFormat="false" ht="15" hidden="false" customHeight="false" outlineLevel="0" collapsed="false">
      <c r="A8" s="1" t="s">
        <v>95</v>
      </c>
    </row>
    <row r="9" customFormat="false" ht="15" hidden="false" customHeight="false" outlineLevel="0" collapsed="false">
      <c r="A9" s="2" t="s">
        <v>96</v>
      </c>
      <c r="B9" s="2" t="s">
        <v>97</v>
      </c>
      <c r="C9" s="2" t="s">
        <v>98</v>
      </c>
      <c r="D9" s="2" t="s">
        <v>99</v>
      </c>
      <c r="E9" s="2" t="s">
        <v>100</v>
      </c>
      <c r="F9" s="2" t="s">
        <v>101</v>
      </c>
      <c r="G9" s="2" t="s">
        <v>102</v>
      </c>
      <c r="H9" s="2" t="s">
        <v>103</v>
      </c>
      <c r="I9" s="2" t="s">
        <v>104</v>
      </c>
    </row>
    <row r="10" customFormat="false" ht="15" hidden="false" customHeight="false" outlineLevel="0" collapsed="false">
      <c r="A10" s="0" t="str">
        <f aca="false">A2</f>
        <v>T1 bakkie transport only, student</v>
      </c>
      <c r="B10" s="0" t="n">
        <f aca="false">MAX(2,CEILING((0.5+0.4*C2+0.25*E2+C10/Inputs!$B$26)*2,1)/2)</f>
        <v>2</v>
      </c>
      <c r="C10" s="0" t="n">
        <f aca="false">Inputs!$B$24*D2+Inputs!$B$25</f>
        <v>24</v>
      </c>
      <c r="D10" s="7" t="n">
        <f aca="false">C10*IF(B2=1,'Monthly costs'!$B$20,'Monthly costs'!$B$19)</f>
        <v>123.66</v>
      </c>
      <c r="E10" s="7" t="n">
        <f aca="false">MAX(B10,IF(F2&gt;0,Inputs!$B$32,3))*('Monthly costs'!$B$22+F2*'Monthly costs'!$B$21)</f>
        <v>233.2125</v>
      </c>
      <c r="F10" s="7" t="n">
        <f aca="false">IF(B2=1,'Monthly costs'!$B$15,'Monthly costs'!$B$16)/8</f>
        <v>963.027002096567</v>
      </c>
      <c r="G10" s="7" t="n">
        <f aca="false">D10+E10+F10</f>
        <v>1319.89950209657</v>
      </c>
      <c r="H10" s="7" t="n">
        <f aca="false">G10/(1-Inputs!$B$33)</f>
        <v>1346.83622662915</v>
      </c>
      <c r="I10" s="7" t="n">
        <f aca="false">G10/(1-Inputs!$B$33-Inputs!$B$34)</f>
        <v>1692.17884884175</v>
      </c>
    </row>
    <row r="11" customFormat="false" ht="15" hidden="false" customHeight="false" outlineLevel="0" collapsed="false">
      <c r="A11" s="0" t="str">
        <f aca="false">A3</f>
        <v>T2 bakkie + 2 movers, student room</v>
      </c>
      <c r="B11" s="0" t="n">
        <f aca="false">MAX(2,CEILING((0.5+0.4*C3+0.25*E3+C11/Inputs!$B$26)*2,1)/2)</f>
        <v>2</v>
      </c>
      <c r="C11" s="0" t="n">
        <f aca="false">Inputs!$B$24*D3+Inputs!$B$25</f>
        <v>24</v>
      </c>
      <c r="D11" s="7" t="n">
        <f aca="false">C11*IF(B3=1,'Monthly costs'!$B$20,'Monthly costs'!$B$19)</f>
        <v>123.66</v>
      </c>
      <c r="E11" s="7" t="n">
        <f aca="false">MAX(B11,IF(F3&gt;0,Inputs!$B$32,3))*('Monthly costs'!$B$22+F3*'Monthly costs'!$B$21)</f>
        <v>746.28</v>
      </c>
      <c r="F11" s="7" t="n">
        <f aca="false">IF(B3=1,'Monthly costs'!$B$15,'Monthly costs'!$B$16)/8</f>
        <v>963.027002096567</v>
      </c>
      <c r="G11" s="7" t="n">
        <f aca="false">D11+E11+F11</f>
        <v>1832.96700209657</v>
      </c>
      <c r="H11" s="7" t="n">
        <f aca="false">G11/(1-Inputs!$B$33)</f>
        <v>1870.37449193527</v>
      </c>
      <c r="I11" s="7" t="n">
        <f aca="false">G11/(1-Inputs!$B$33-Inputs!$B$34)</f>
        <v>2349.9576949956</v>
      </c>
    </row>
    <row r="12" customFormat="false" ht="15" hidden="false" customHeight="false" outlineLevel="0" collapsed="false">
      <c r="A12" s="0" t="str">
        <f aca="false">A4</f>
        <v>T3 combo + 2 movers, 1-bedroom</v>
      </c>
      <c r="B12" s="0" t="n">
        <f aca="false">MAX(2,CEILING((0.5+0.4*C4+0.25*E4+C12/Inputs!$B$26)*2,1)/2)</f>
        <v>4.5</v>
      </c>
      <c r="C12" s="0" t="n">
        <f aca="false">Inputs!$B$24*D4+Inputs!$B$25</f>
        <v>40</v>
      </c>
      <c r="D12" s="7" t="n">
        <f aca="false">C12*IF(B4=1,'Monthly costs'!$B$20,'Monthly costs'!$B$19)</f>
        <v>244.9</v>
      </c>
      <c r="E12" s="7" t="n">
        <f aca="false">MAX(B12,IF(F4&gt;0,Inputs!$B$32,3))*('Monthly costs'!$B$22+F4*'Monthly costs'!$B$21)</f>
        <v>839.565</v>
      </c>
      <c r="F12" s="7" t="n">
        <f aca="false">IF(B4=1,'Monthly costs'!$B$15,'Monthly costs'!$B$16)/8</f>
        <v>1049.83255765212</v>
      </c>
      <c r="G12" s="7" t="n">
        <f aca="false">D12+E12+F12</f>
        <v>2134.29755765212</v>
      </c>
      <c r="H12" s="7" t="n">
        <f aca="false">G12/(1-Inputs!$B$33)</f>
        <v>2177.85465066543</v>
      </c>
      <c r="I12" s="7" t="n">
        <f aca="false">G12/(1-Inputs!$B$33-Inputs!$B$34)</f>
        <v>2736.27892006682</v>
      </c>
    </row>
    <row r="13" customFormat="false" ht="15" hidden="false" customHeight="false" outlineLevel="0" collapsed="false">
      <c r="A13" s="0" t="str">
        <f aca="false">A5</f>
        <v>T4 combo transport only</v>
      </c>
      <c r="B13" s="0" t="n">
        <f aca="false">MAX(2,CEILING((0.5+0.4*C5+0.25*E5+C13/Inputs!$B$26)*2,1)/2)</f>
        <v>3.5</v>
      </c>
      <c r="C13" s="0" t="n">
        <f aca="false">Inputs!$B$24*D5+Inputs!$B$25</f>
        <v>48</v>
      </c>
      <c r="D13" s="7" t="n">
        <f aca="false">C13*IF(B5=1,'Monthly costs'!$B$20,'Monthly costs'!$B$19)</f>
        <v>293.88</v>
      </c>
      <c r="E13" s="7" t="n">
        <f aca="false">MAX(B13,IF(F5&gt;0,Inputs!$B$32,3))*('Monthly costs'!$B$22+F5*'Monthly costs'!$B$21)</f>
        <v>272.08125</v>
      </c>
      <c r="F13" s="7" t="n">
        <f aca="false">IF(B5=1,'Monthly costs'!$B$15,'Monthly costs'!$B$16)/8</f>
        <v>1049.83255765212</v>
      </c>
      <c r="G13" s="7" t="n">
        <f aca="false">D13+E13+F13</f>
        <v>1615.79380765212</v>
      </c>
      <c r="H13" s="7" t="n">
        <f aca="false">G13/(1-Inputs!$B$33)</f>
        <v>1648.76919148176</v>
      </c>
      <c r="I13" s="7" t="n">
        <f aca="false">G13/(1-Inputs!$B$33-Inputs!$B$34)</f>
        <v>2071.53052263093</v>
      </c>
    </row>
    <row r="14" customFormat="false" ht="15" hidden="false" customHeight="false" outlineLevel="0" collapsed="false">
      <c r="A14" s="0" t="str">
        <f aca="false">A6</f>
        <v>T5 combo + 2 movers, 2-bedroom</v>
      </c>
      <c r="B14" s="0" t="n">
        <f aca="false">MAX(2,CEILING((0.5+0.4*C6+0.25*E6+C14/Inputs!$B$26)*2,1)/2)</f>
        <v>6</v>
      </c>
      <c r="C14" s="0" t="n">
        <f aca="false">Inputs!$B$24*D6+Inputs!$B$25</f>
        <v>56</v>
      </c>
      <c r="D14" s="7" t="n">
        <f aca="false">C14*IF(B6=1,'Monthly costs'!$B$20,'Monthly costs'!$B$19)</f>
        <v>342.86</v>
      </c>
      <c r="E14" s="7" t="n">
        <f aca="false">MAX(B14,IF(F6&gt;0,Inputs!$B$32,3))*('Monthly costs'!$B$22+F6*'Monthly costs'!$B$21)</f>
        <v>1119.42</v>
      </c>
      <c r="F14" s="7" t="n">
        <f aca="false">IF(B6=1,'Monthly costs'!$B$15,'Monthly costs'!$B$16)/8</f>
        <v>1049.83255765212</v>
      </c>
      <c r="G14" s="7" t="n">
        <f aca="false">D14+E14+F14</f>
        <v>2512.11255765212</v>
      </c>
      <c r="H14" s="7" t="n">
        <f aca="false">G14/(1-Inputs!$B$33)</f>
        <v>2563.38016086951</v>
      </c>
      <c r="I14" s="7" t="n">
        <f aca="false">G14/(1-Inputs!$B$33-Inputs!$B$34)</f>
        <v>3220.65712519503</v>
      </c>
    </row>
    <row r="16" customFormat="false" ht="15" hidden="false" customHeight="false" outlineLevel="0" collapsed="false">
      <c r="A16" s="1" t="s">
        <v>105</v>
      </c>
    </row>
    <row r="17" customFormat="false" ht="15" hidden="false" customHeight="false" outlineLevel="0" collapsed="false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101</v>
      </c>
      <c r="G17" s="2" t="s">
        <v>102</v>
      </c>
      <c r="H17" s="2" t="s">
        <v>103</v>
      </c>
      <c r="I17" s="2" t="s">
        <v>104</v>
      </c>
    </row>
    <row r="18" customFormat="false" ht="15" hidden="false" customHeight="false" outlineLevel="0" collapsed="false">
      <c r="A18" s="0" t="str">
        <f aca="false">A2</f>
        <v>T1 bakkie transport only, student</v>
      </c>
      <c r="B18" s="0" t="n">
        <f aca="false">MAX(2,CEILING((0.5+0.4*C2+0.25*E2+C18/Inputs!$B$26)*2,1)/2)</f>
        <v>2</v>
      </c>
      <c r="C18" s="0" t="n">
        <f aca="false">Inputs!$B$24*D2+Inputs!$B$25</f>
        <v>24</v>
      </c>
      <c r="D18" s="7" t="n">
        <f aca="false">C18*IF(B2=1,'Monthly costs'!$B$20,'Monthly costs'!$B$19)</f>
        <v>123.66</v>
      </c>
      <c r="E18" s="7" t="n">
        <f aca="false">MAX(B18,IF(F2&gt;0,Inputs!$B$32,3))*('Monthly costs'!$B$22+F2*'Monthly costs'!$B$21)</f>
        <v>233.2125</v>
      </c>
      <c r="F18" s="7" t="n">
        <f aca="false">IF(B2=1,'Monthly costs'!$B$15,'Monthly costs'!$B$16)/12</f>
        <v>642.018001397711</v>
      </c>
      <c r="G18" s="7" t="n">
        <f aca="false">D18+E18+F18</f>
        <v>998.890501397711</v>
      </c>
      <c r="H18" s="7" t="n">
        <f aca="false">G18/(1-Inputs!$B$33)</f>
        <v>1019.2760218344</v>
      </c>
      <c r="I18" s="7" t="n">
        <f aca="false">G18/(1-Inputs!$B$33-Inputs!$B$34)</f>
        <v>1280.62884794578</v>
      </c>
    </row>
    <row r="19" customFormat="false" ht="15" hidden="false" customHeight="false" outlineLevel="0" collapsed="false">
      <c r="A19" s="0" t="str">
        <f aca="false">A3</f>
        <v>T2 bakkie + 2 movers, student room</v>
      </c>
      <c r="B19" s="0" t="n">
        <f aca="false">MAX(2,CEILING((0.5+0.4*C3+0.25*E3+C19/Inputs!$B$26)*2,1)/2)</f>
        <v>2</v>
      </c>
      <c r="C19" s="0" t="n">
        <f aca="false">Inputs!$B$24*D3+Inputs!$B$25</f>
        <v>24</v>
      </c>
      <c r="D19" s="7" t="n">
        <f aca="false">C19*IF(B3=1,'Monthly costs'!$B$20,'Monthly costs'!$B$19)</f>
        <v>123.66</v>
      </c>
      <c r="E19" s="7" t="n">
        <f aca="false">MAX(B19,IF(F3&gt;0,Inputs!$B$32,3))*('Monthly costs'!$B$22+F3*'Monthly costs'!$B$21)</f>
        <v>746.28</v>
      </c>
      <c r="F19" s="7" t="n">
        <f aca="false">IF(B3=1,'Monthly costs'!$B$15,'Monthly costs'!$B$16)/12</f>
        <v>642.018001397711</v>
      </c>
      <c r="G19" s="7" t="n">
        <f aca="false">D19+E19+F19</f>
        <v>1511.95800139771</v>
      </c>
      <c r="H19" s="7" t="n">
        <f aca="false">G19/(1-Inputs!$B$33)</f>
        <v>1542.81428714052</v>
      </c>
      <c r="I19" s="7" t="n">
        <f aca="false">G19/(1-Inputs!$B$33-Inputs!$B$34)</f>
        <v>1938.40769409963</v>
      </c>
    </row>
    <row r="20" customFormat="false" ht="15" hidden="false" customHeight="false" outlineLevel="0" collapsed="false">
      <c r="A20" s="0" t="str">
        <f aca="false">A4</f>
        <v>T3 combo + 2 movers, 1-bedroom</v>
      </c>
      <c r="B20" s="0" t="n">
        <f aca="false">MAX(2,CEILING((0.5+0.4*C4+0.25*E4+C20/Inputs!$B$26)*2,1)/2)</f>
        <v>4.5</v>
      </c>
      <c r="C20" s="0" t="n">
        <f aca="false">Inputs!$B$24*D4+Inputs!$B$25</f>
        <v>40</v>
      </c>
      <c r="D20" s="7" t="n">
        <f aca="false">C20*IF(B4=1,'Monthly costs'!$B$20,'Monthly costs'!$B$19)</f>
        <v>244.9</v>
      </c>
      <c r="E20" s="7" t="n">
        <f aca="false">MAX(B20,IF(F4&gt;0,Inputs!$B$32,3))*('Monthly costs'!$B$22+F4*'Monthly costs'!$B$21)</f>
        <v>839.565</v>
      </c>
      <c r="F20" s="7" t="n">
        <f aca="false">IF(B4=1,'Monthly costs'!$B$15,'Monthly costs'!$B$16)/12</f>
        <v>699.888371768082</v>
      </c>
      <c r="G20" s="7" t="n">
        <f aca="false">D20+E20+F20</f>
        <v>1784.35337176808</v>
      </c>
      <c r="H20" s="7" t="n">
        <f aca="false">G20/(1-Inputs!$B$33)</f>
        <v>1820.76874670212</v>
      </c>
      <c r="I20" s="7" t="n">
        <f aca="false">G20/(1-Inputs!$B$33-Inputs!$B$34)</f>
        <v>2287.6325279078</v>
      </c>
    </row>
    <row r="21" customFormat="false" ht="15" hidden="false" customHeight="false" outlineLevel="0" collapsed="false">
      <c r="A21" s="0" t="str">
        <f aca="false">A5</f>
        <v>T4 combo transport only</v>
      </c>
      <c r="B21" s="0" t="n">
        <f aca="false">MAX(2,CEILING((0.5+0.4*C5+0.25*E5+C21/Inputs!$B$26)*2,1)/2)</f>
        <v>3.5</v>
      </c>
      <c r="C21" s="0" t="n">
        <f aca="false">Inputs!$B$24*D5+Inputs!$B$25</f>
        <v>48</v>
      </c>
      <c r="D21" s="7" t="n">
        <f aca="false">C21*IF(B5=1,'Monthly costs'!$B$20,'Monthly costs'!$B$19)</f>
        <v>293.88</v>
      </c>
      <c r="E21" s="7" t="n">
        <f aca="false">MAX(B21,IF(F5&gt;0,Inputs!$B$32,3))*('Monthly costs'!$B$22+F5*'Monthly costs'!$B$21)</f>
        <v>272.08125</v>
      </c>
      <c r="F21" s="7" t="n">
        <f aca="false">IF(B5=1,'Monthly costs'!$B$15,'Monthly costs'!$B$16)/12</f>
        <v>699.888371768082</v>
      </c>
      <c r="G21" s="7" t="n">
        <f aca="false">D21+E21+F21</f>
        <v>1265.84962176808</v>
      </c>
      <c r="H21" s="7" t="n">
        <f aca="false">G21/(1-Inputs!$B$33)</f>
        <v>1291.68328751845</v>
      </c>
      <c r="I21" s="7" t="n">
        <f aca="false">G21/(1-Inputs!$B$33-Inputs!$B$34)</f>
        <v>1622.8841304719</v>
      </c>
    </row>
    <row r="22" customFormat="false" ht="15" hidden="false" customHeight="false" outlineLevel="0" collapsed="false">
      <c r="A22" s="0" t="str">
        <f aca="false">A6</f>
        <v>T5 combo + 2 movers, 2-bedroom</v>
      </c>
      <c r="B22" s="0" t="n">
        <f aca="false">MAX(2,CEILING((0.5+0.4*C6+0.25*E6+C22/Inputs!$B$26)*2,1)/2)</f>
        <v>6</v>
      </c>
      <c r="C22" s="0" t="n">
        <f aca="false">Inputs!$B$24*D6+Inputs!$B$25</f>
        <v>56</v>
      </c>
      <c r="D22" s="7" t="n">
        <f aca="false">C22*IF(B6=1,'Monthly costs'!$B$20,'Monthly costs'!$B$19)</f>
        <v>342.86</v>
      </c>
      <c r="E22" s="7" t="n">
        <f aca="false">MAX(B22,IF(F6&gt;0,Inputs!$B$32,3))*('Monthly costs'!$B$22+F6*'Monthly costs'!$B$21)</f>
        <v>1119.42</v>
      </c>
      <c r="F22" s="7" t="n">
        <f aca="false">IF(B6=1,'Monthly costs'!$B$15,'Monthly costs'!$B$16)/12</f>
        <v>699.888371768082</v>
      </c>
      <c r="G22" s="7" t="n">
        <f aca="false">D22+E22+F22</f>
        <v>2162.16837176808</v>
      </c>
      <c r="H22" s="7" t="n">
        <f aca="false">G22/(1-Inputs!$B$33)</f>
        <v>2206.29425690621</v>
      </c>
      <c r="I22" s="7" t="n">
        <f aca="false">G22/(1-Inputs!$B$33-Inputs!$B$34)</f>
        <v>2772.010733036</v>
      </c>
    </row>
    <row r="24" customFormat="false" ht="15" hidden="false" customHeight="false" outlineLevel="0" collapsed="false">
      <c r="A24" s="1" t="s">
        <v>106</v>
      </c>
    </row>
    <row r="25" customFormat="false" ht="15" hidden="false" customHeight="false" outlineLevel="0" collapsed="false">
      <c r="A25" s="2" t="s">
        <v>96</v>
      </c>
      <c r="B25" s="2" t="s">
        <v>97</v>
      </c>
      <c r="C25" s="2" t="s">
        <v>98</v>
      </c>
      <c r="D25" s="2" t="s">
        <v>99</v>
      </c>
      <c r="E25" s="2" t="s">
        <v>100</v>
      </c>
      <c r="F25" s="2" t="s">
        <v>101</v>
      </c>
      <c r="G25" s="2" t="s">
        <v>102</v>
      </c>
      <c r="H25" s="2" t="s">
        <v>103</v>
      </c>
      <c r="I25" s="2" t="s">
        <v>104</v>
      </c>
    </row>
    <row r="26" customFormat="false" ht="15" hidden="false" customHeight="false" outlineLevel="0" collapsed="false">
      <c r="A26" s="0" t="str">
        <f aca="false">A2</f>
        <v>T1 bakkie transport only, student</v>
      </c>
      <c r="B26" s="0" t="n">
        <f aca="false">MAX(2,CEILING((0.5+0.4*C2+0.25*E2+C26/Inputs!$B$26)*2,1)/2)</f>
        <v>2</v>
      </c>
      <c r="C26" s="0" t="n">
        <f aca="false">Inputs!$B$24*D2+Inputs!$B$25</f>
        <v>24</v>
      </c>
      <c r="D26" s="7" t="n">
        <f aca="false">C26*IF(B2=1,'Monthly costs'!$B$20,'Monthly costs'!$B$19)</f>
        <v>123.66</v>
      </c>
      <c r="E26" s="7" t="n">
        <f aca="false">MAX(B26,IF(F2&gt;0,Inputs!$B$32,3))*('Monthly costs'!$B$22+F2*'Monthly costs'!$B$21)</f>
        <v>233.2125</v>
      </c>
      <c r="F26" s="7" t="n">
        <f aca="false">IF(B2=1,'Monthly costs'!$B$15,'Monthly costs'!$B$16)/16</f>
        <v>481.513501048284</v>
      </c>
      <c r="G26" s="7" t="n">
        <f aca="false">D26+E26+F26</f>
        <v>838.386001048284</v>
      </c>
      <c r="H26" s="7" t="n">
        <f aca="false">G26/(1-Inputs!$B$33)</f>
        <v>855.495919437024</v>
      </c>
      <c r="I26" s="7" t="n">
        <f aca="false">G26/(1-Inputs!$B$33-Inputs!$B$34)</f>
        <v>1074.8538474978</v>
      </c>
    </row>
    <row r="27" customFormat="false" ht="15" hidden="false" customHeight="false" outlineLevel="0" collapsed="false">
      <c r="A27" s="0" t="str">
        <f aca="false">A3</f>
        <v>T2 bakkie + 2 movers, student room</v>
      </c>
      <c r="B27" s="0" t="n">
        <f aca="false">MAX(2,CEILING((0.5+0.4*C3+0.25*E3+C27/Inputs!$B$26)*2,1)/2)</f>
        <v>2</v>
      </c>
      <c r="C27" s="0" t="n">
        <f aca="false">Inputs!$B$24*D3+Inputs!$B$25</f>
        <v>24</v>
      </c>
      <c r="D27" s="7" t="n">
        <f aca="false">C27*IF(B3=1,'Monthly costs'!$B$20,'Monthly costs'!$B$19)</f>
        <v>123.66</v>
      </c>
      <c r="E27" s="7" t="n">
        <f aca="false">MAX(B27,IF(F3&gt;0,Inputs!$B$32,3))*('Monthly costs'!$B$22+F3*'Monthly costs'!$B$21)</f>
        <v>746.28</v>
      </c>
      <c r="F27" s="7" t="n">
        <f aca="false">IF(B3=1,'Monthly costs'!$B$15,'Monthly costs'!$B$16)/16</f>
        <v>481.513501048284</v>
      </c>
      <c r="G27" s="7" t="n">
        <f aca="false">D27+E27+F27</f>
        <v>1351.45350104828</v>
      </c>
      <c r="H27" s="7" t="n">
        <f aca="false">G27/(1-Inputs!$B$33)</f>
        <v>1379.03418474315</v>
      </c>
      <c r="I27" s="7" t="n">
        <f aca="false">G27/(1-Inputs!$B$33-Inputs!$B$34)</f>
        <v>1732.63269365165</v>
      </c>
    </row>
    <row r="28" customFormat="false" ht="15" hidden="false" customHeight="false" outlineLevel="0" collapsed="false">
      <c r="A28" s="0" t="str">
        <f aca="false">A4</f>
        <v>T3 combo + 2 movers, 1-bedroom</v>
      </c>
      <c r="B28" s="0" t="n">
        <f aca="false">MAX(2,CEILING((0.5+0.4*C4+0.25*E4+C28/Inputs!$B$26)*2,1)/2)</f>
        <v>4.5</v>
      </c>
      <c r="C28" s="0" t="n">
        <f aca="false">Inputs!$B$24*D4+Inputs!$B$25</f>
        <v>40</v>
      </c>
      <c r="D28" s="7" t="n">
        <f aca="false">C28*IF(B4=1,'Monthly costs'!$B$20,'Monthly costs'!$B$19)</f>
        <v>244.9</v>
      </c>
      <c r="E28" s="7" t="n">
        <f aca="false">MAX(B28,IF(F4&gt;0,Inputs!$B$32,3))*('Monthly costs'!$B$22+F4*'Monthly costs'!$B$21)</f>
        <v>839.565</v>
      </c>
      <c r="F28" s="7" t="n">
        <f aca="false">IF(B4=1,'Monthly costs'!$B$15,'Monthly costs'!$B$16)/16</f>
        <v>524.916278826061</v>
      </c>
      <c r="G28" s="7" t="n">
        <f aca="false">D28+E28+F28</f>
        <v>1609.38127882606</v>
      </c>
      <c r="H28" s="7" t="n">
        <f aca="false">G28/(1-Inputs!$B$33)</f>
        <v>1642.22579472047</v>
      </c>
      <c r="I28" s="7" t="n">
        <f aca="false">G28/(1-Inputs!$B$33-Inputs!$B$34)</f>
        <v>2063.30933182828</v>
      </c>
    </row>
    <row r="29" customFormat="false" ht="15" hidden="false" customHeight="false" outlineLevel="0" collapsed="false">
      <c r="A29" s="0" t="str">
        <f aca="false">A5</f>
        <v>T4 combo transport only</v>
      </c>
      <c r="B29" s="0" t="n">
        <f aca="false">MAX(2,CEILING((0.5+0.4*C5+0.25*E5+C29/Inputs!$B$26)*2,1)/2)</f>
        <v>3.5</v>
      </c>
      <c r="C29" s="0" t="n">
        <f aca="false">Inputs!$B$24*D5+Inputs!$B$25</f>
        <v>48</v>
      </c>
      <c r="D29" s="7" t="n">
        <f aca="false">C29*IF(B5=1,'Monthly costs'!$B$20,'Monthly costs'!$B$19)</f>
        <v>293.88</v>
      </c>
      <c r="E29" s="7" t="n">
        <f aca="false">MAX(B29,IF(F5&gt;0,Inputs!$B$32,3))*('Monthly costs'!$B$22+F5*'Monthly costs'!$B$21)</f>
        <v>272.08125</v>
      </c>
      <c r="F29" s="7" t="n">
        <f aca="false">IF(B5=1,'Monthly costs'!$B$15,'Monthly costs'!$B$16)/16</f>
        <v>524.916278826061</v>
      </c>
      <c r="G29" s="7" t="n">
        <f aca="false">D29+E29+F29</f>
        <v>1090.87752882606</v>
      </c>
      <c r="H29" s="7" t="n">
        <f aca="false">G29/(1-Inputs!$B$33)</f>
        <v>1113.1403355368</v>
      </c>
      <c r="I29" s="7" t="n">
        <f aca="false">G29/(1-Inputs!$B$33-Inputs!$B$34)</f>
        <v>1398.56093439239</v>
      </c>
    </row>
    <row r="30" customFormat="false" ht="15" hidden="false" customHeight="false" outlineLevel="0" collapsed="false">
      <c r="A30" s="0" t="str">
        <f aca="false">A6</f>
        <v>T5 combo + 2 movers, 2-bedroom</v>
      </c>
      <c r="B30" s="0" t="n">
        <f aca="false">MAX(2,CEILING((0.5+0.4*C6+0.25*E6+C30/Inputs!$B$26)*2,1)/2)</f>
        <v>6</v>
      </c>
      <c r="C30" s="0" t="n">
        <f aca="false">Inputs!$B$24*D6+Inputs!$B$25</f>
        <v>56</v>
      </c>
      <c r="D30" s="7" t="n">
        <f aca="false">C30*IF(B6=1,'Monthly costs'!$B$20,'Monthly costs'!$B$19)</f>
        <v>342.86</v>
      </c>
      <c r="E30" s="7" t="n">
        <f aca="false">MAX(B30,IF(F6&gt;0,Inputs!$B$32,3))*('Monthly costs'!$B$22+F6*'Monthly costs'!$B$21)</f>
        <v>1119.42</v>
      </c>
      <c r="F30" s="7" t="n">
        <f aca="false">IF(B6=1,'Monthly costs'!$B$15,'Monthly costs'!$B$16)/16</f>
        <v>524.916278826061</v>
      </c>
      <c r="G30" s="7" t="n">
        <f aca="false">D30+E30+F30</f>
        <v>1987.19627882606</v>
      </c>
      <c r="H30" s="7" t="n">
        <f aca="false">G30/(1-Inputs!$B$33)</f>
        <v>2027.75130492455</v>
      </c>
      <c r="I30" s="7" t="n">
        <f aca="false">G30/(1-Inputs!$B$33-Inputs!$B$34)</f>
        <v>2547.68753695649</v>
      </c>
    </row>
    <row r="32" customFormat="false" ht="15" hidden="false" customHeight="false" outlineLevel="0" collapsed="false">
      <c r="A32" s="1" t="s">
        <v>107</v>
      </c>
    </row>
    <row r="33" customFormat="false" ht="15" hidden="false" customHeight="false" outlineLevel="0" collapsed="false">
      <c r="A33" s="2" t="s">
        <v>96</v>
      </c>
      <c r="B33" s="2" t="s">
        <v>97</v>
      </c>
      <c r="C33" s="2" t="s">
        <v>98</v>
      </c>
      <c r="D33" s="2" t="s">
        <v>99</v>
      </c>
      <c r="E33" s="2" t="s">
        <v>100</v>
      </c>
      <c r="F33" s="2" t="s">
        <v>101</v>
      </c>
      <c r="G33" s="2" t="s">
        <v>102</v>
      </c>
      <c r="H33" s="2" t="s">
        <v>103</v>
      </c>
      <c r="I33" s="2" t="s">
        <v>104</v>
      </c>
    </row>
    <row r="34" customFormat="false" ht="15" hidden="false" customHeight="false" outlineLevel="0" collapsed="false">
      <c r="A34" s="0" t="str">
        <f aca="false">A2</f>
        <v>T1 bakkie transport only, student</v>
      </c>
      <c r="B34" s="0" t="n">
        <f aca="false">MAX(2,CEILING((0.5+0.4*C2+0.25*E2+C34/Inputs!$B$26)*2,1)/2)</f>
        <v>2</v>
      </c>
      <c r="C34" s="0" t="n">
        <f aca="false">Inputs!$B$24*D2+Inputs!$B$25</f>
        <v>24</v>
      </c>
      <c r="D34" s="7" t="n">
        <f aca="false">C34*IF(B2=1,'Monthly costs'!$B$20,'Monthly costs'!$B$19)</f>
        <v>123.66</v>
      </c>
      <c r="E34" s="7" t="n">
        <f aca="false">MAX(B34,IF(F2&gt;0,Inputs!$B$32,3))*('Monthly costs'!$B$22+F2*'Monthly costs'!$B$21)</f>
        <v>233.2125</v>
      </c>
      <c r="F34" s="7" t="n">
        <f aca="false">IF(B2=1,'Monthly costs'!$B$15,'Monthly costs'!$B$16)/20</f>
        <v>385.210800838627</v>
      </c>
      <c r="G34" s="7" t="n">
        <f aca="false">D34+E34+F34</f>
        <v>742.083300838627</v>
      </c>
      <c r="H34" s="7" t="n">
        <f aca="false">G34/(1-Inputs!$B$33)</f>
        <v>757.227857998599</v>
      </c>
      <c r="I34" s="7" t="n">
        <f aca="false">G34/(1-Inputs!$B$33-Inputs!$B$34)</f>
        <v>951.388847229009</v>
      </c>
    </row>
    <row r="35" customFormat="false" ht="15" hidden="false" customHeight="false" outlineLevel="0" collapsed="false">
      <c r="A35" s="0" t="str">
        <f aca="false">A3</f>
        <v>T2 bakkie + 2 movers, student room</v>
      </c>
      <c r="B35" s="0" t="n">
        <f aca="false">MAX(2,CEILING((0.5+0.4*C3+0.25*E3+C35/Inputs!$B$26)*2,1)/2)</f>
        <v>2</v>
      </c>
      <c r="C35" s="0" t="n">
        <f aca="false">Inputs!$B$24*D3+Inputs!$B$25</f>
        <v>24</v>
      </c>
      <c r="D35" s="7" t="n">
        <f aca="false">C35*IF(B3=1,'Monthly costs'!$B$20,'Monthly costs'!$B$19)</f>
        <v>123.66</v>
      </c>
      <c r="E35" s="7" t="n">
        <f aca="false">MAX(B35,IF(F3&gt;0,Inputs!$B$32,3))*('Monthly costs'!$B$22+F3*'Monthly costs'!$B$21)</f>
        <v>746.28</v>
      </c>
      <c r="F35" s="7" t="n">
        <f aca="false">IF(B3=1,'Monthly costs'!$B$15,'Monthly costs'!$B$16)/20</f>
        <v>385.210800838627</v>
      </c>
      <c r="G35" s="7" t="n">
        <f aca="false">D35+E35+F35</f>
        <v>1255.15080083863</v>
      </c>
      <c r="H35" s="7" t="n">
        <f aca="false">G35/(1-Inputs!$B$33)</f>
        <v>1280.76612330472</v>
      </c>
      <c r="I35" s="7" t="n">
        <f aca="false">G35/(1-Inputs!$B$33-Inputs!$B$34)</f>
        <v>1609.16769338285</v>
      </c>
    </row>
    <row r="36" customFormat="false" ht="15" hidden="false" customHeight="false" outlineLevel="0" collapsed="false">
      <c r="A36" s="0" t="str">
        <f aca="false">A4</f>
        <v>T3 combo + 2 movers, 1-bedroom</v>
      </c>
      <c r="B36" s="0" t="n">
        <f aca="false">MAX(2,CEILING((0.5+0.4*C4+0.25*E4+C36/Inputs!$B$26)*2,1)/2)</f>
        <v>4.5</v>
      </c>
      <c r="C36" s="0" t="n">
        <f aca="false">Inputs!$B$24*D4+Inputs!$B$25</f>
        <v>40</v>
      </c>
      <c r="D36" s="7" t="n">
        <f aca="false">C36*IF(B4=1,'Monthly costs'!$B$20,'Monthly costs'!$B$19)</f>
        <v>244.9</v>
      </c>
      <c r="E36" s="7" t="n">
        <f aca="false">MAX(B36,IF(F4&gt;0,Inputs!$B$32,3))*('Monthly costs'!$B$22+F4*'Monthly costs'!$B$21)</f>
        <v>839.565</v>
      </c>
      <c r="F36" s="7" t="n">
        <f aca="false">IF(B4=1,'Monthly costs'!$B$15,'Monthly costs'!$B$16)/20</f>
        <v>419.933023060849</v>
      </c>
      <c r="G36" s="7" t="n">
        <f aca="false">D36+E36+F36</f>
        <v>1504.39802306085</v>
      </c>
      <c r="H36" s="7" t="n">
        <f aca="false">G36/(1-Inputs!$B$33)</f>
        <v>1535.10002353148</v>
      </c>
      <c r="I36" s="7" t="n">
        <f aca="false">G36/(1-Inputs!$B$33-Inputs!$B$34)</f>
        <v>1928.71541418058</v>
      </c>
    </row>
    <row r="37" customFormat="false" ht="15" hidden="false" customHeight="false" outlineLevel="0" collapsed="false">
      <c r="A37" s="0" t="str">
        <f aca="false">A5</f>
        <v>T4 combo transport only</v>
      </c>
      <c r="B37" s="0" t="n">
        <f aca="false">MAX(2,CEILING((0.5+0.4*C5+0.25*E5+C37/Inputs!$B$26)*2,1)/2)</f>
        <v>3.5</v>
      </c>
      <c r="C37" s="0" t="n">
        <f aca="false">Inputs!$B$24*D5+Inputs!$B$25</f>
        <v>48</v>
      </c>
      <c r="D37" s="7" t="n">
        <f aca="false">C37*IF(B5=1,'Monthly costs'!$B$20,'Monthly costs'!$B$19)</f>
        <v>293.88</v>
      </c>
      <c r="E37" s="7" t="n">
        <f aca="false">MAX(B37,IF(F5&gt;0,Inputs!$B$32,3))*('Monthly costs'!$B$22+F5*'Monthly costs'!$B$21)</f>
        <v>272.08125</v>
      </c>
      <c r="F37" s="7" t="n">
        <f aca="false">IF(B5=1,'Monthly costs'!$B$15,'Monthly costs'!$B$16)/20</f>
        <v>419.933023060849</v>
      </c>
      <c r="G37" s="7" t="n">
        <f aca="false">D37+E37+F37</f>
        <v>985.894273060849</v>
      </c>
      <c r="H37" s="7" t="n">
        <f aca="false">G37/(1-Inputs!$B$33)</f>
        <v>1006.01456434781</v>
      </c>
      <c r="I37" s="7" t="n">
        <f aca="false">G37/(1-Inputs!$B$33-Inputs!$B$34)</f>
        <v>1263.96701674468</v>
      </c>
    </row>
    <row r="38" customFormat="false" ht="15" hidden="false" customHeight="false" outlineLevel="0" collapsed="false">
      <c r="A38" s="0" t="str">
        <f aca="false">A6</f>
        <v>T5 combo + 2 movers, 2-bedroom</v>
      </c>
      <c r="B38" s="0" t="n">
        <f aca="false">MAX(2,CEILING((0.5+0.4*C6+0.25*E6+C38/Inputs!$B$26)*2,1)/2)</f>
        <v>6</v>
      </c>
      <c r="C38" s="0" t="n">
        <f aca="false">Inputs!$B$24*D6+Inputs!$B$25</f>
        <v>56</v>
      </c>
      <c r="D38" s="7" t="n">
        <f aca="false">C38*IF(B6=1,'Monthly costs'!$B$20,'Monthly costs'!$B$19)</f>
        <v>342.86</v>
      </c>
      <c r="E38" s="7" t="n">
        <f aca="false">MAX(B38,IF(F6&gt;0,Inputs!$B$32,3))*('Monthly costs'!$B$22+F6*'Monthly costs'!$B$21)</f>
        <v>1119.42</v>
      </c>
      <c r="F38" s="7" t="n">
        <f aca="false">IF(B6=1,'Monthly costs'!$B$15,'Monthly costs'!$B$16)/20</f>
        <v>419.933023060849</v>
      </c>
      <c r="G38" s="7" t="n">
        <f aca="false">D38+E38+F38</f>
        <v>1882.21302306085</v>
      </c>
      <c r="H38" s="7" t="n">
        <f aca="false">G38/(1-Inputs!$B$33)</f>
        <v>1920.62553373556</v>
      </c>
      <c r="I38" s="7" t="n">
        <f aca="false">G38/(1-Inputs!$B$33-Inputs!$B$34)</f>
        <v>2413.09361930878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8"/>
  </cols>
  <sheetData>
    <row r="1" customFormat="false" ht="15" hidden="false" customHeight="false" outlineLevel="0" collapsed="false">
      <c r="A1" s="2" t="s">
        <v>108</v>
      </c>
      <c r="B1" s="2" t="s">
        <v>2</v>
      </c>
    </row>
    <row r="2" customFormat="false" ht="15" hidden="false" customHeight="false" outlineLevel="0" collapsed="false">
      <c r="A2" s="0" t="s">
        <v>109</v>
      </c>
      <c r="B2" s="3" t="n">
        <v>900</v>
      </c>
    </row>
    <row r="3" customFormat="false" ht="15" hidden="false" customHeight="false" outlineLevel="0" collapsed="false">
      <c r="A3" s="0" t="s">
        <v>110</v>
      </c>
      <c r="B3" s="3" t="n">
        <v>100</v>
      </c>
    </row>
    <row r="4" customFormat="false" ht="15" hidden="false" customHeight="false" outlineLevel="0" collapsed="false">
      <c r="A4" s="0" t="s">
        <v>111</v>
      </c>
      <c r="B4" s="3" t="n">
        <v>80</v>
      </c>
    </row>
    <row r="5" customFormat="false" ht="15" hidden="false" customHeight="false" outlineLevel="0" collapsed="false">
      <c r="A5" s="0" t="s">
        <v>112</v>
      </c>
      <c r="B5" s="3" t="n">
        <v>10</v>
      </c>
    </row>
    <row r="6" customFormat="false" ht="15" hidden="false" customHeight="false" outlineLevel="0" collapsed="false">
      <c r="A6" s="0" t="s">
        <v>113</v>
      </c>
      <c r="B6" s="3" t="n">
        <v>12</v>
      </c>
    </row>
    <row r="7" customFormat="false" ht="15" hidden="false" customHeight="false" outlineLevel="0" collapsed="false">
      <c r="A7" s="0" t="s">
        <v>114</v>
      </c>
      <c r="B7" s="3" t="n">
        <v>90</v>
      </c>
    </row>
    <row r="8" customFormat="false" ht="15" hidden="false" customHeight="false" outlineLevel="0" collapsed="false">
      <c r="A8" s="0" t="s">
        <v>115</v>
      </c>
      <c r="B8" s="3" t="n">
        <v>3</v>
      </c>
    </row>
    <row r="9" customFormat="false" ht="15" hidden="false" customHeight="false" outlineLevel="0" collapsed="false">
      <c r="A9" s="0" t="s">
        <v>116</v>
      </c>
      <c r="B9" s="3" t="n">
        <v>4</v>
      </c>
    </row>
    <row r="11" customFormat="false" ht="15" hidden="false" customHeight="false" outlineLevel="0" collapsed="false">
      <c r="A11" s="2" t="s">
        <v>96</v>
      </c>
      <c r="B11" s="2" t="s">
        <v>117</v>
      </c>
      <c r="C11" s="2" t="s">
        <v>118</v>
      </c>
      <c r="D11" s="2" t="s">
        <v>119</v>
      </c>
      <c r="E11" s="2" t="s">
        <v>120</v>
      </c>
      <c r="F11" s="2" t="s">
        <v>121</v>
      </c>
    </row>
    <row r="12" customFormat="false" ht="15" hidden="false" customHeight="false" outlineLevel="0" collapsed="false">
      <c r="A12" s="0" t="str">
        <f aca="false">'Job costs'!A2</f>
        <v>T1 bakkie transport only, student</v>
      </c>
      <c r="B12" s="0" t="n">
        <f aca="false">MAX(IF('Job costs'!F2&gt;0,$B$9,$B$8),'Job costs'!B18)</f>
        <v>3</v>
      </c>
      <c r="C12" s="7" t="n">
        <f aca="false">$B$2+$B$3*B12+IF('Job costs'!B2=1,$B$6,$B$5)*'Job costs'!D2+$B$4*'Job costs'!F2*B12+$B$7*'Job costs'!E2</f>
        <v>1300</v>
      </c>
      <c r="D12" s="7" t="n">
        <f aca="false">'Job costs'!G18</f>
        <v>998.890501397711</v>
      </c>
      <c r="E12" s="7" t="n">
        <f aca="false">C12*(1-Inputs!$B$33)-D12</f>
        <v>275.109498602289</v>
      </c>
      <c r="F12" s="8" t="n">
        <f aca="false">E12/C12</f>
        <v>0.21162269123253</v>
      </c>
    </row>
    <row r="13" customFormat="false" ht="15" hidden="false" customHeight="false" outlineLevel="0" collapsed="false">
      <c r="A13" s="0" t="str">
        <f aca="false">'Job costs'!A3</f>
        <v>T2 bakkie + 2 movers, student room</v>
      </c>
      <c r="B13" s="0" t="n">
        <f aca="false">MAX(IF('Job costs'!F3&gt;0,$B$9,$B$8),'Job costs'!B19)</f>
        <v>4</v>
      </c>
      <c r="C13" s="7" t="n">
        <f aca="false">$B$2+$B$3*B13+IF('Job costs'!B3=1,$B$6,$B$5)*'Job costs'!D3+$B$4*'Job costs'!F3*B13+$B$7*'Job costs'!E3</f>
        <v>2040</v>
      </c>
      <c r="D13" s="7" t="n">
        <f aca="false">'Job costs'!G19</f>
        <v>1511.95800139771</v>
      </c>
      <c r="E13" s="7" t="n">
        <f aca="false">C13*(1-Inputs!$B$33)-D13</f>
        <v>487.241998602289</v>
      </c>
      <c r="F13" s="8" t="n">
        <f aca="false">E13/C13</f>
        <v>0.238844116961906</v>
      </c>
    </row>
    <row r="14" customFormat="false" ht="15" hidden="false" customHeight="false" outlineLevel="0" collapsed="false">
      <c r="A14" s="0" t="str">
        <f aca="false">'Job costs'!A4</f>
        <v>T3 combo + 2 movers, 1-bedroom</v>
      </c>
      <c r="B14" s="0" t="n">
        <f aca="false">MAX(IF('Job costs'!F4&gt;0,$B$9,$B$8),'Job costs'!B20)</f>
        <v>4.5</v>
      </c>
      <c r="C14" s="7" t="n">
        <f aca="false">$B$2+$B$3*B14+IF('Job costs'!B4=1,$B$6,$B$5)*'Job costs'!D4+$B$4*'Job costs'!F4*B14+$B$7*'Job costs'!E4</f>
        <v>2490</v>
      </c>
      <c r="D14" s="7" t="n">
        <f aca="false">'Job costs'!G20</f>
        <v>1784.35337176808</v>
      </c>
      <c r="E14" s="7" t="n">
        <f aca="false">C14*(1-Inputs!$B$33)-D14</f>
        <v>655.846628231918</v>
      </c>
      <c r="F14" s="8" t="n">
        <f aca="false">E14/C14</f>
        <v>0.263392220173461</v>
      </c>
    </row>
    <row r="15" customFormat="false" ht="15" hidden="false" customHeight="false" outlineLevel="0" collapsed="false">
      <c r="A15" s="0" t="str">
        <f aca="false">'Job costs'!A5</f>
        <v>T4 combo transport only</v>
      </c>
      <c r="B15" s="0" t="n">
        <f aca="false">MAX(IF('Job costs'!F5&gt;0,$B$9,$B$8),'Job costs'!B21)</f>
        <v>3.5</v>
      </c>
      <c r="C15" s="7" t="n">
        <f aca="false">$B$2+$B$3*B15+IF('Job costs'!B5=1,$B$6,$B$5)*'Job costs'!D5+$B$4*'Job costs'!F5*B15+$B$7*'Job costs'!E5</f>
        <v>1550</v>
      </c>
      <c r="D15" s="7" t="n">
        <f aca="false">'Job costs'!G21</f>
        <v>1265.84962176808</v>
      </c>
      <c r="E15" s="7" t="n">
        <f aca="false">C15*(1-Inputs!$B$33)-D15</f>
        <v>253.150378231918</v>
      </c>
      <c r="F15" s="8" t="n">
        <f aca="false">E15/C15</f>
        <v>0.163322824665754</v>
      </c>
    </row>
    <row r="16" customFormat="false" ht="15" hidden="false" customHeight="false" outlineLevel="0" collapsed="false">
      <c r="A16" s="0" t="str">
        <f aca="false">'Job costs'!A6</f>
        <v>T5 combo + 2 movers, 2-bedroom</v>
      </c>
      <c r="B16" s="0" t="n">
        <f aca="false">MAX(IF('Job costs'!F6&gt;0,$B$9,$B$8),'Job costs'!B22)</f>
        <v>6</v>
      </c>
      <c r="C16" s="7" t="n">
        <f aca="false">$B$2+$B$3*B16+IF('Job costs'!B6=1,$B$6,$B$5)*'Job costs'!D6+$B$4*'Job costs'!F6*B16+$B$7*'Job costs'!E6</f>
        <v>3090</v>
      </c>
      <c r="D16" s="7" t="n">
        <f aca="false">'Job costs'!G22</f>
        <v>2162.16837176808</v>
      </c>
      <c r="E16" s="7" t="n">
        <f aca="false">C16*(1-Inputs!$B$33)-D16</f>
        <v>866.031628231918</v>
      </c>
      <c r="F16" s="8" t="n">
        <f aca="false">E16/C16</f>
        <v>0.280269135350135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2026-10-15T07:42:17Z</dcterms:created>
  <dc:creator>openpyxl</dc:creator>
  <dc:description/>
  <dc:language>en-US</dc:language>
  <cp:lastModifiedBy/>
  <dcterms:modified xsi:type="dcterms:W3CDTF">2026-10-15T07:42:17Z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